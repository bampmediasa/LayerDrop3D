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C Parts Sourcing" sheetId="1" state="visible" r:id="rId3"/>
    <sheet name="Info &amp; Pricing Strateg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<sst xmlns="http://schemas.openxmlformats.org/spreadsheetml/2006/main" count="164" uniqueCount="125">
  <si>
    <t xml:space="preserve">BAMP Prints - RC Parts Sourcing Guide</t>
  </si>
  <si>
    <t xml:space="preserve">Complete kit components with pricing and suppliers (March 2026)</t>
  </si>
  <si>
    <t xml:space="preserve">Component</t>
  </si>
  <si>
    <t xml:space="preserve">Model/Type</t>
  </si>
  <si>
    <t xml:space="preserve">Specification</t>
  </si>
  <si>
    <t xml:space="preserve">Est. Price</t>
  </si>
  <si>
    <t xml:space="preserve">Qty for Kit</t>
  </si>
  <si>
    <t xml:space="preserve">Total/Kit</t>
  </si>
  <si>
    <t xml:space="preserve">Supplier/Link</t>
  </si>
  <si>
    <t xml:space="preserve">MOTORS</t>
  </si>
  <si>
    <t xml:space="preserve">Motor</t>
  </si>
  <si>
    <t xml:space="preserve">Readytosky LE2204</t>
  </si>
  <si>
    <t xml:space="preserve">1800KV, Brushless</t>
  </si>
  <si>
    <t xml:space="preserve">$8-12</t>
  </si>
  <si>
    <t xml:space="preserve">1</t>
  </si>
  <si>
    <t xml:space="preserve">Amazon</t>
  </si>
  <si>
    <t xml:space="preserve">Emax GT2215</t>
  </si>
  <si>
    <t xml:space="preserve">880KV, High Power</t>
  </si>
  <si>
    <t xml:space="preserve">$15-20</t>
  </si>
  <si>
    <t xml:space="preserve">T-Motor U3 Pro</t>
  </si>
  <si>
    <t xml:space="preserve">700KV, Precision</t>
  </si>
  <si>
    <t xml:space="preserve">$25-35</t>
  </si>
  <si>
    <t xml:space="preserve">AMain Hobbies</t>
  </si>
  <si>
    <t xml:space="preserve">BATTERIES (LiPo)</t>
  </si>
  <si>
    <t xml:space="preserve">Battery</t>
  </si>
  <si>
    <t xml:space="preserve">2S 2200mAh 50C</t>
  </si>
  <si>
    <t xml:space="preserve">7.4V, Standard</t>
  </si>
  <si>
    <t xml:space="preserve">$20-25</t>
  </si>
  <si>
    <t xml:space="preserve">3S 2200mAh 50C</t>
  </si>
  <si>
    <t xml:space="preserve">11.1V, High Power</t>
  </si>
  <si>
    <t xml:space="preserve">$25-30</t>
  </si>
  <si>
    <t xml:space="preserve">Battery Charger</t>
  </si>
  <si>
    <t xml:space="preserve">Dual Port LiPo</t>
  </si>
  <si>
    <t xml:space="preserve">2-4S Capable</t>
  </si>
  <si>
    <t xml:space="preserve">$30-40</t>
  </si>
  <si>
    <t xml:space="preserve">SERVOS &amp; CONTROLLERS</t>
  </si>
  <si>
    <t xml:space="preserve">Servo</t>
  </si>
  <si>
    <t xml:space="preserve">MG90S Micro</t>
  </si>
  <si>
    <t xml:space="preserve">9g, Metal Gear</t>
  </si>
  <si>
    <t xml:space="preserve">$3-5</t>
  </si>
  <si>
    <t xml:space="preserve">3</t>
  </si>
  <si>
    <t xml:space="preserve">ESC</t>
  </si>
  <si>
    <t xml:space="preserve">Hobbywing 30A</t>
  </si>
  <si>
    <t xml:space="preserve">2-3S Compatible</t>
  </si>
  <si>
    <t xml:space="preserve">SimonK 40A</t>
  </si>
  <si>
    <t xml:space="preserve">Budget Option</t>
  </si>
  <si>
    <t xml:space="preserve">PROPELLERS &amp; HARDWARE</t>
  </si>
  <si>
    <t xml:space="preserve">Propeller Set</t>
  </si>
  <si>
    <t xml:space="preserve">8x6 Nylon Props</t>
  </si>
  <si>
    <t xml:space="preserve">2 CW + 2 CCW</t>
  </si>
  <si>
    <t xml:space="preserve">$4-6</t>
  </si>
  <si>
    <t xml:space="preserve">2 sets</t>
  </si>
  <si>
    <t xml:space="preserve">Carbon Rods</t>
  </si>
  <si>
    <t xml:space="preserve">Assorted Kit</t>
  </si>
  <si>
    <t xml:space="preserve">Various sizes</t>
  </si>
  <si>
    <t xml:space="preserve">Pushrod Kit</t>
  </si>
  <si>
    <t xml:space="preserve">TPU Pushrods</t>
  </si>
  <si>
    <t xml:space="preserve">Flexible &amp; Strong</t>
  </si>
  <si>
    <t xml:space="preserve">$5-8</t>
  </si>
  <si>
    <t xml:space="preserve">Screws/Hardware</t>
  </si>
  <si>
    <t xml:space="preserve">M2, M3 Assortment</t>
  </si>
  <si>
    <t xml:space="preserve">Stainless Steel</t>
  </si>
  <si>
    <t xml:space="preserve">$8-10</t>
  </si>
  <si>
    <t xml:space="preserve">Landing Gear</t>
  </si>
  <si>
    <t xml:space="preserve">3D Print Parts</t>
  </si>
  <si>
    <t xml:space="preserve">Included with airframe</t>
  </si>
  <si>
    <t xml:space="preserve">$0</t>
  </si>
  <si>
    <t xml:space="preserve">As needed</t>
  </si>
  <si>
    <t xml:space="preserve">Custom Print</t>
  </si>
  <si>
    <t xml:space="preserve">MISCELLANEOUS</t>
  </si>
  <si>
    <t xml:space="preserve">Receiver</t>
  </si>
  <si>
    <t xml:space="preserve">PPM Receiver</t>
  </si>
  <si>
    <t xml:space="preserve">4-6 Channel</t>
  </si>
  <si>
    <t xml:space="preserve">$12-15</t>
  </si>
  <si>
    <t xml:space="preserve">Connector Set</t>
  </si>
  <si>
    <t xml:space="preserve">XT60 Connectors</t>
  </si>
  <si>
    <t xml:space="preserve">5 Male + 5 Female</t>
  </si>
  <si>
    <t xml:space="preserve">Shrink Tubing</t>
  </si>
  <si>
    <t xml:space="preserve">Heat Shrink Kit</t>
  </si>
  <si>
    <t xml:space="preserve">Assorted</t>
  </si>
  <si>
    <t xml:space="preserve">Solder &amp; Wire</t>
  </si>
  <si>
    <t xml:space="preserve">20AWG Wire</t>
  </si>
  <si>
    <t xml:space="preserve">5m Spool</t>
  </si>
  <si>
    <t xml:space="preserve">$6-8</t>
  </si>
  <si>
    <t xml:space="preserve">ESTIMATED TOTAL COST PER COMPLETE KIT:</t>
  </si>
  <si>
    <t xml:space="preserve">BAMP Prints - RC Kit Pricing Strategy</t>
  </si>
  <si>
    <t xml:space="preserve">BUYING STRATEGY</t>
  </si>
  <si>
    <t xml:space="preserve">Buy in bulk</t>
  </si>
  <si>
    <t xml:space="preserve">Order 5-10 complete kits worth of parts at once to get volume discounts</t>
  </si>
  <si>
    <t xml:space="preserve">Motors: 10-15% discount at 10+ units</t>
  </si>
  <si>
    <t xml:space="preserve">Batteries: 5-10% discount buying in bulk</t>
  </si>
  <si>
    <t xml:space="preserve">Servos: Better pricing on 10+ packs</t>
  </si>
  <si>
    <t xml:space="preserve">PRICING RECOMMENDATION</t>
  </si>
  <si>
    <t xml:space="preserve">Kit Cost (Materials)</t>
  </si>
  <si>
    <t xml:space="preserve">~$130-160 per kit (from sourcing guide)</t>
  </si>
  <si>
    <t xml:space="preserve">Assembly Labor</t>
  </si>
  <si>
    <t xml:space="preserve">~$20-30 per kit (0.5-1 hour)</t>
  </si>
  <si>
    <t xml:space="preserve">Overhead/Packaging</t>
  </si>
  <si>
    <t xml:space="preserve">~$10-15 per kit</t>
  </si>
  <si>
    <t xml:space="preserve">Total Cost</t>
  </si>
  <si>
    <t xml:space="preserve">~$160-205 per kit</t>
  </si>
  <si>
    <t xml:space="preserve">SUGGESTED RETAIL PRICES</t>
  </si>
  <si>
    <t xml:space="preserve">Airframe Only Kit</t>
  </si>
  <si>
    <t xml:space="preserve">$89-99 (50-80% margin)</t>
  </si>
  <si>
    <t xml:space="preserve">Complete Kit (with electronics)</t>
  </si>
  <si>
    <t xml:space="preserve">$199-249 (40-50% margin)</t>
  </si>
  <si>
    <t xml:space="preserve">Premium Build Option</t>
  </si>
  <si>
    <t xml:space="preserve">$299-349 (includes assembly &amp; testing)</t>
  </si>
  <si>
    <t xml:space="preserve">CUSTOM 3D PRINT PRICING OPTIONS</t>
  </si>
  <si>
    <t xml:space="preserve">Option A: Hourly Rental</t>
  </si>
  <si>
    <t xml:space="preserve">$2.50-3.50/hour (machine + filament)</t>
  </si>
  <si>
    <t xml:space="preserve">Plus: $10-15 setup fee per job</t>
  </si>
  <si>
    <t xml:space="preserve">Plus: Labor if post-processing needed ($15-25/hr)</t>
  </si>
  <si>
    <t xml:space="preserve">Option B: Job-Specific Pricing</t>
  </si>
  <si>
    <t xml:space="preserve">Cost Model</t>
  </si>
  <si>
    <t xml:space="preserve">$0.10-0.20 per cubic cm of material</t>
  </si>
  <si>
    <t xml:space="preserve">OR $0.50-1.50 per gram of filament used</t>
  </si>
  <si>
    <t xml:space="preserve">Plus</t>
  </si>
  <si>
    <t xml:space="preserve">$15 fixed setup/design review fee</t>
  </si>
  <si>
    <t xml:space="preserve">$20-30/hour for custom modifications</t>
  </si>
  <si>
    <t xml:space="preserve">Recommended Approach</t>
  </si>
  <si>
    <t xml:space="preserve">Start with</t>
  </si>
  <si>
    <t xml:space="preserve">Job-specific for custom orders (easier to quote)</t>
  </si>
  <si>
    <t xml:space="preserve">Add hourly option</t>
  </si>
  <si>
    <t xml:space="preserve">Once volume picks up (good for customers doing multiple prints)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</si>
</sst>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A8FF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00A8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00A8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A8FF"/>
        <bgColor rgb="FF33CCCC"/>
      </patternFill>
    </fill>
    <fill>
      <patternFill patternType="solid">
        <fgColor rgb="FFE6F2FF"/>
        <bgColor rgb="FFFFFFFF"/>
      </patternFill>
    </fill>
    <fill>
      <patternFill patternType="solid">
        <fgColor rgb="FFFFE6CC"/>
        <bgColor rgb="FFE6F2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6CC"/>
      <rgbColor rgb="FFE6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8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6" min="4" style="1" width="12"/>
    <col collapsed="false" customWidth="true" hidden="false" outlineLevel="0" max="7" min="7" style="1" width="18"/>
  </cols>
  <sheetData>
    <row r="1" customFormat="false" ht="24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9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8" hidden="false" customHeight="true" outlineLevel="0" collapsed="false">
      <c r="A5" s="5" t="s">
        <v>9</v>
      </c>
      <c r="B5" s="5"/>
      <c r="C5" s="5"/>
      <c r="D5" s="5"/>
      <c r="E5" s="5"/>
      <c r="F5" s="5"/>
      <c r="G5" s="5"/>
    </row>
    <row r="6" customFormat="false" ht="15" hidden="false" customHeight="true" outlineLevel="0" collapsed="false">
      <c r="A6" s="6" t="s">
        <v>10</v>
      </c>
      <c r="B6" s="6" t="s">
        <v>11</v>
      </c>
      <c r="C6" s="6" t="s">
        <v>12</v>
      </c>
      <c r="D6" s="7" t="s">
        <v>13</v>
      </c>
      <c r="E6" s="8" t="s">
        <v>14</v>
      </c>
      <c r="F6" s="8" t="n">
        <v>10</v>
      </c>
      <c r="G6" s="6" t="s">
        <v>15</v>
      </c>
    </row>
    <row r="7" customFormat="false" ht="15" hidden="false" customHeight="true" outlineLevel="0" collapsed="false">
      <c r="A7" s="6" t="s">
        <v>10</v>
      </c>
      <c r="B7" s="6" t="s">
        <v>16</v>
      </c>
      <c r="C7" s="6" t="s">
        <v>17</v>
      </c>
      <c r="D7" s="7" t="s">
        <v>18</v>
      </c>
      <c r="E7" s="8" t="s">
        <v>14</v>
      </c>
      <c r="F7" s="8" t="n">
        <v>17.5</v>
      </c>
      <c r="G7" s="6" t="s">
        <v>15</v>
      </c>
    </row>
    <row r="8" customFormat="false" ht="15" hidden="false" customHeight="true" outlineLevel="0" collapsed="false">
      <c r="A8" s="6" t="s">
        <v>10</v>
      </c>
      <c r="B8" s="6" t="s">
        <v>19</v>
      </c>
      <c r="C8" s="6" t="s">
        <v>20</v>
      </c>
      <c r="D8" s="7" t="s">
        <v>21</v>
      </c>
      <c r="E8" s="8" t="s">
        <v>14</v>
      </c>
      <c r="F8" s="8" t="n">
        <v>30</v>
      </c>
      <c r="G8" s="6" t="s">
        <v>22</v>
      </c>
    </row>
    <row r="9" customFormat="false" ht="18" hidden="false" customHeight="true" outlineLevel="0" collapsed="false">
      <c r="A9" s="5" t="s">
        <v>23</v>
      </c>
      <c r="B9" s="5"/>
      <c r="C9" s="5"/>
      <c r="D9" s="5"/>
      <c r="E9" s="5"/>
      <c r="F9" s="5"/>
      <c r="G9" s="5"/>
    </row>
    <row r="10" customFormat="false" ht="15" hidden="false" customHeight="true" outlineLevel="0" collapsed="false">
      <c r="A10" s="6" t="s">
        <v>24</v>
      </c>
      <c r="B10" s="6" t="s">
        <v>25</v>
      </c>
      <c r="C10" s="6" t="s">
        <v>26</v>
      </c>
      <c r="D10" s="7" t="s">
        <v>27</v>
      </c>
      <c r="E10" s="8" t="s">
        <v>14</v>
      </c>
      <c r="F10" s="8" t="n">
        <v>22.5</v>
      </c>
      <c r="G10" s="6" t="s">
        <v>15</v>
      </c>
    </row>
    <row r="11" customFormat="false" ht="15" hidden="false" customHeight="true" outlineLevel="0" collapsed="false">
      <c r="A11" s="6" t="s">
        <v>24</v>
      </c>
      <c r="B11" s="6" t="s">
        <v>28</v>
      </c>
      <c r="C11" s="6" t="s">
        <v>29</v>
      </c>
      <c r="D11" s="7" t="s">
        <v>30</v>
      </c>
      <c r="E11" s="8" t="s">
        <v>14</v>
      </c>
      <c r="F11" s="8" t="n">
        <v>27.5</v>
      </c>
      <c r="G11" s="6" t="s">
        <v>15</v>
      </c>
    </row>
    <row r="12" customFormat="false" ht="15" hidden="false" customHeight="true" outlineLevel="0" collapsed="false">
      <c r="A12" s="6" t="s">
        <v>31</v>
      </c>
      <c r="B12" s="6" t="s">
        <v>32</v>
      </c>
      <c r="C12" s="6" t="s">
        <v>33</v>
      </c>
      <c r="D12" s="7" t="s">
        <v>34</v>
      </c>
      <c r="E12" s="8" t="s">
        <v>14</v>
      </c>
      <c r="F12" s="8" t="n">
        <v>35</v>
      </c>
      <c r="G12" s="6" t="s">
        <v>15</v>
      </c>
    </row>
    <row r="13" customFormat="false" ht="18" hidden="false" customHeight="true" outlineLevel="0" collapsed="false">
      <c r="A13" s="5" t="s">
        <v>35</v>
      </c>
      <c r="B13" s="5"/>
      <c r="C13" s="5"/>
      <c r="D13" s="5"/>
      <c r="E13" s="5"/>
      <c r="F13" s="5"/>
      <c r="G13" s="5"/>
    </row>
    <row r="14" customFormat="false" ht="15" hidden="false" customHeight="true" outlineLevel="0" collapsed="false">
      <c r="A14" s="6" t="s">
        <v>36</v>
      </c>
      <c r="B14" s="6" t="s">
        <v>37</v>
      </c>
      <c r="C14" s="6" t="s">
        <v>38</v>
      </c>
      <c r="D14" s="7" t="s">
        <v>39</v>
      </c>
      <c r="E14" s="8" t="s">
        <v>40</v>
      </c>
      <c r="F14" s="8" t="n">
        <v>4</v>
      </c>
      <c r="G14" s="6" t="s">
        <v>15</v>
      </c>
    </row>
    <row r="15" customFormat="false" ht="15" hidden="false" customHeight="true" outlineLevel="0" collapsed="false">
      <c r="A15" s="6" t="s">
        <v>41</v>
      </c>
      <c r="B15" s="6" t="s">
        <v>42</v>
      </c>
      <c r="C15" s="6" t="s">
        <v>43</v>
      </c>
      <c r="D15" s="7" t="s">
        <v>18</v>
      </c>
      <c r="E15" s="8" t="s">
        <v>14</v>
      </c>
      <c r="F15" s="8" t="n">
        <f aca="false">D17*E17</f>
        <v>0</v>
      </c>
      <c r="G15" s="6" t="s">
        <v>15</v>
      </c>
    </row>
    <row r="16" customFormat="false" ht="15" hidden="false" customHeight="true" outlineLevel="0" collapsed="false">
      <c r="A16" s="6" t="s">
        <v>41</v>
      </c>
      <c r="B16" s="6" t="s">
        <v>44</v>
      </c>
      <c r="C16" s="6" t="s">
        <v>45</v>
      </c>
      <c r="D16" s="7" t="s">
        <v>13</v>
      </c>
      <c r="E16" s="8" t="s">
        <v>14</v>
      </c>
      <c r="F16" s="8" t="n">
        <v>17.5</v>
      </c>
      <c r="G16" s="6" t="s">
        <v>15</v>
      </c>
    </row>
    <row r="17" customFormat="false" ht="18" hidden="false" customHeight="true" outlineLevel="0" collapsed="false">
      <c r="A17" s="5" t="s">
        <v>46</v>
      </c>
      <c r="B17" s="5"/>
      <c r="C17" s="5"/>
      <c r="D17" s="5"/>
      <c r="E17" s="5"/>
      <c r="F17" s="5"/>
      <c r="G17" s="5"/>
    </row>
    <row r="18" customFormat="false" ht="15" hidden="false" customHeight="true" outlineLevel="0" collapsed="false">
      <c r="A18" s="6" t="s">
        <v>47</v>
      </c>
      <c r="B18" s="6" t="s">
        <v>48</v>
      </c>
      <c r="C18" s="6" t="s">
        <v>49</v>
      </c>
      <c r="D18" s="7" t="s">
        <v>50</v>
      </c>
      <c r="E18" s="8" t="s">
        <v>51</v>
      </c>
      <c r="F18" s="8" t="n">
        <v>10</v>
      </c>
      <c r="G18" s="6" t="s">
        <v>15</v>
      </c>
    </row>
    <row r="19" customFormat="false" ht="15" hidden="false" customHeight="true" outlineLevel="0" collapsed="false">
      <c r="A19" s="6" t="s">
        <v>52</v>
      </c>
      <c r="B19" s="6" t="s">
        <v>53</v>
      </c>
      <c r="C19" s="6" t="s">
        <v>54</v>
      </c>
      <c r="D19" s="7" t="s">
        <v>18</v>
      </c>
      <c r="E19" s="8" t="s">
        <v>14</v>
      </c>
      <c r="F19" s="8" t="n">
        <v>5</v>
      </c>
      <c r="G19" s="6" t="s">
        <v>15</v>
      </c>
    </row>
    <row r="20" customFormat="false" ht="15" hidden="false" customHeight="true" outlineLevel="0" collapsed="false">
      <c r="A20" s="6" t="s">
        <v>55</v>
      </c>
      <c r="B20" s="6" t="s">
        <v>56</v>
      </c>
      <c r="C20" s="6" t="s">
        <v>57</v>
      </c>
      <c r="D20" s="7" t="s">
        <v>58</v>
      </c>
      <c r="E20" s="8" t="s">
        <v>14</v>
      </c>
      <c r="F20" s="8" t="n">
        <f aca="false">D23*E23</f>
        <v>0</v>
      </c>
      <c r="G20" s="6" t="s">
        <v>15</v>
      </c>
    </row>
    <row r="21" customFormat="false" ht="15" hidden="false" customHeight="true" outlineLevel="0" collapsed="false">
      <c r="A21" s="6" t="s">
        <v>59</v>
      </c>
      <c r="B21" s="6" t="s">
        <v>60</v>
      </c>
      <c r="C21" s="6" t="s">
        <v>61</v>
      </c>
      <c r="D21" s="7" t="s">
        <v>62</v>
      </c>
      <c r="E21" s="8" t="s">
        <v>14</v>
      </c>
      <c r="F21" s="8" t="n">
        <v>17.5</v>
      </c>
      <c r="G21" s="6" t="s">
        <v>15</v>
      </c>
    </row>
    <row r="22" customFormat="false" ht="15" hidden="false" customHeight="true" outlineLevel="0" collapsed="false">
      <c r="A22" s="6" t="s">
        <v>63</v>
      </c>
      <c r="B22" s="6" t="s">
        <v>64</v>
      </c>
      <c r="C22" s="6" t="s">
        <v>65</v>
      </c>
      <c r="D22" s="7" t="s">
        <v>66</v>
      </c>
      <c r="E22" s="8" t="s">
        <v>67</v>
      </c>
      <c r="F22" s="8" t="n">
        <v>6.5</v>
      </c>
      <c r="G22" s="6" t="s">
        <v>68</v>
      </c>
    </row>
    <row r="23" customFormat="false" ht="18" hidden="false" customHeight="true" outlineLevel="0" collapsed="false">
      <c r="A23" s="5" t="s">
        <v>69</v>
      </c>
      <c r="B23" s="5"/>
      <c r="C23" s="5"/>
      <c r="D23" s="5"/>
      <c r="E23" s="5"/>
      <c r="F23" s="5"/>
      <c r="G23" s="5"/>
    </row>
    <row r="24" customFormat="false" ht="15" hidden="false" customHeight="true" outlineLevel="0" collapsed="false">
      <c r="A24" s="6" t="s">
        <v>70</v>
      </c>
      <c r="B24" s="6" t="s">
        <v>71</v>
      </c>
      <c r="C24" s="6" t="s">
        <v>72</v>
      </c>
      <c r="D24" s="7" t="s">
        <v>73</v>
      </c>
      <c r="E24" s="8" t="s">
        <v>14</v>
      </c>
      <c r="F24" s="8" t="n">
        <f aca="false">D28*E28</f>
        <v>0</v>
      </c>
      <c r="G24" s="6" t="s">
        <v>15</v>
      </c>
    </row>
    <row r="25" customFormat="false" ht="15" hidden="false" customHeight="true" outlineLevel="0" collapsed="false">
      <c r="A25" s="6" t="s">
        <v>74</v>
      </c>
      <c r="B25" s="6" t="s">
        <v>75</v>
      </c>
      <c r="C25" s="6" t="s">
        <v>76</v>
      </c>
      <c r="D25" s="7" t="s">
        <v>58</v>
      </c>
      <c r="E25" s="8" t="s">
        <v>14</v>
      </c>
      <c r="F25" s="8" t="n">
        <f aca="false">D29*E29</f>
        <v>0</v>
      </c>
      <c r="G25" s="6" t="s">
        <v>15</v>
      </c>
    </row>
    <row r="26" customFormat="false" ht="15" hidden="false" customHeight="true" outlineLevel="0" collapsed="false">
      <c r="A26" s="6" t="s">
        <v>77</v>
      </c>
      <c r="B26" s="6" t="s">
        <v>78</v>
      </c>
      <c r="C26" s="6" t="s">
        <v>79</v>
      </c>
      <c r="D26" s="7" t="s">
        <v>39</v>
      </c>
      <c r="E26" s="8" t="s">
        <v>14</v>
      </c>
      <c r="F26" s="8" t="n">
        <f aca="false">D30*E30</f>
        <v>0</v>
      </c>
      <c r="G26" s="6" t="s">
        <v>15</v>
      </c>
    </row>
    <row r="27" customFormat="false" ht="15" hidden="false" customHeight="true" outlineLevel="0" collapsed="false">
      <c r="A27" s="6" t="s">
        <v>80</v>
      </c>
      <c r="B27" s="6" t="s">
        <v>81</v>
      </c>
      <c r="C27" s="6" t="s">
        <v>82</v>
      </c>
      <c r="D27" s="7" t="s">
        <v>83</v>
      </c>
      <c r="E27" s="8" t="s">
        <v>14</v>
      </c>
      <c r="F27" s="8" t="n">
        <f aca="false">D31*E31</f>
        <v>0</v>
      </c>
      <c r="G27" s="6" t="s">
        <v>15</v>
      </c>
    </row>
    <row r="28" customFormat="false" ht="15" hidden="false" customHeight="true" outlineLevel="0" collapsed="false">
      <c r="A28" s="9" t="s">
        <v>84</v>
      </c>
      <c r="B28" s="9"/>
      <c r="C28" s="9"/>
      <c r="D28" s="9"/>
      <c r="E28" s="9"/>
      <c r="F28" s="10" t="n">
        <f aca="false">SUM(F6:F27)</f>
        <v>203</v>
      </c>
    </row>
    <row r="33" customFormat="false" ht="15" hidden="false" customHeight="false" outlineLevel="0" collapsed="false">
      <c r="F33" s="1" t="n">
        <f aca="false">SUM(F6:F31)</f>
        <v>406</v>
      </c>
    </row>
  </sheetData>
  <mergeCells count="8">
    <mergeCell ref="A1:F1"/>
    <mergeCell ref="A2:F2"/>
    <mergeCell ref="A5:G5"/>
    <mergeCell ref="A9:G9"/>
    <mergeCell ref="A13:G13"/>
    <mergeCell ref="A17:G17"/>
    <mergeCell ref="A23:G23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0"/>
  </cols>
  <sheetData>
    <row r="1" customFormat="false" ht="15" hidden="false" customHeight="true" outlineLevel="0" collapsed="false">
      <c r="A1" s="11" t="s">
        <v>85</v>
      </c>
      <c r="B1" s="11"/>
    </row>
    <row r="3" customFormat="false" ht="15" hidden="false" customHeight="true" outlineLevel="0" collapsed="false">
      <c r="A3" s="11" t="s">
        <v>86</v>
      </c>
      <c r="B3" s="11"/>
    </row>
    <row r="4" customFormat="false" ht="15" hidden="false" customHeight="true" outlineLevel="0" collapsed="false">
      <c r="A4" s="1" t="s">
        <v>87</v>
      </c>
      <c r="B4" s="1" t="s">
        <v>88</v>
      </c>
    </row>
    <row r="5" customFormat="false" ht="15" hidden="false" customHeight="true" outlineLevel="0" collapsed="false">
      <c r="B5" s="1" t="s">
        <v>89</v>
      </c>
    </row>
    <row r="6" customFormat="false" ht="15" hidden="false" customHeight="true" outlineLevel="0" collapsed="false">
      <c r="B6" s="1" t="s">
        <v>90</v>
      </c>
    </row>
    <row r="7" customFormat="false" ht="15" hidden="false" customHeight="true" outlineLevel="0" collapsed="false">
      <c r="B7" s="1" t="s">
        <v>91</v>
      </c>
    </row>
    <row r="9" customFormat="false" ht="15" hidden="false" customHeight="true" outlineLevel="0" collapsed="false">
      <c r="A9" s="11" t="s">
        <v>92</v>
      </c>
      <c r="B9" s="11"/>
    </row>
    <row r="10" customFormat="false" ht="15" hidden="false" customHeight="true" outlineLevel="0" collapsed="false">
      <c r="A10" s="12" t="s">
        <v>93</v>
      </c>
      <c r="B10" s="12" t="s">
        <v>94</v>
      </c>
    </row>
    <row r="11" customFormat="false" ht="15" hidden="false" customHeight="true" outlineLevel="0" collapsed="false">
      <c r="A11" s="12" t="s">
        <v>95</v>
      </c>
      <c r="B11" s="12" t="s">
        <v>96</v>
      </c>
    </row>
    <row r="12" customFormat="false" ht="15" hidden="false" customHeight="true" outlineLevel="0" collapsed="false">
      <c r="A12" s="12" t="s">
        <v>97</v>
      </c>
      <c r="B12" s="12" t="s">
        <v>98</v>
      </c>
    </row>
    <row r="13" customFormat="false" ht="15" hidden="false" customHeight="true" outlineLevel="0" collapsed="false">
      <c r="A13" s="12" t="s">
        <v>99</v>
      </c>
      <c r="B13" s="12" t="s">
        <v>100</v>
      </c>
    </row>
    <row r="15" customFormat="false" ht="15" hidden="false" customHeight="true" outlineLevel="0" collapsed="false">
      <c r="A15" s="11" t="s">
        <v>101</v>
      </c>
      <c r="B15" s="11"/>
    </row>
    <row r="16" customFormat="false" ht="15" hidden="false" customHeight="true" outlineLevel="0" collapsed="false">
      <c r="A16" s="12" t="s">
        <v>102</v>
      </c>
      <c r="B16" s="12" t="s">
        <v>103</v>
      </c>
    </row>
    <row r="17" customFormat="false" ht="15" hidden="false" customHeight="true" outlineLevel="0" collapsed="false">
      <c r="A17" s="12" t="s">
        <v>104</v>
      </c>
      <c r="B17" s="12" t="s">
        <v>105</v>
      </c>
    </row>
    <row r="18" customFormat="false" ht="15" hidden="false" customHeight="true" outlineLevel="0" collapsed="false">
      <c r="A18" s="12" t="s">
        <v>106</v>
      </c>
      <c r="B18" s="12" t="s">
        <v>107</v>
      </c>
    </row>
    <row r="20" customFormat="false" ht="15" hidden="false" customHeight="true" outlineLevel="0" collapsed="false">
      <c r="A20" s="11" t="s">
        <v>108</v>
      </c>
      <c r="B20" s="11"/>
    </row>
    <row r="21" customFormat="false" ht="15" hidden="false" customHeight="true" outlineLevel="0" collapsed="false">
      <c r="A21" s="12" t="s">
        <v>109</v>
      </c>
      <c r="B21" s="12" t="s">
        <v>110</v>
      </c>
    </row>
    <row r="22" customFormat="false" ht="15" hidden="false" customHeight="true" outlineLevel="0" collapsed="false">
      <c r="B22" s="1" t="s">
        <v>111</v>
      </c>
    </row>
    <row r="23" customFormat="false" ht="15" hidden="false" customHeight="true" outlineLevel="0" collapsed="false">
      <c r="B23" s="1" t="s">
        <v>112</v>
      </c>
    </row>
    <row r="25" customFormat="false" ht="15" hidden="false" customHeight="true" outlineLevel="0" collapsed="false">
      <c r="A25" s="13" t="s">
        <v>113</v>
      </c>
      <c r="B25" s="13"/>
    </row>
    <row r="26" customFormat="false" ht="15" hidden="false" customHeight="true" outlineLevel="0" collapsed="false">
      <c r="A26" s="12" t="s">
        <v>114</v>
      </c>
      <c r="B26" s="12" t="s">
        <v>115</v>
      </c>
    </row>
    <row r="27" customFormat="false" ht="15" hidden="false" customHeight="true" outlineLevel="0" collapsed="false">
      <c r="B27" s="1" t="s">
        <v>116</v>
      </c>
    </row>
    <row r="28" customFormat="false" ht="15" hidden="false" customHeight="true" outlineLevel="0" collapsed="false">
      <c r="A28" s="12" t="s">
        <v>117</v>
      </c>
      <c r="B28" s="12" t="s">
        <v>118</v>
      </c>
    </row>
    <row r="29" customFormat="false" ht="15" hidden="false" customHeight="true" outlineLevel="0" collapsed="false">
      <c r="A29" s="12" t="s">
        <v>117</v>
      </c>
      <c r="B29" s="12" t="s">
        <v>119</v>
      </c>
    </row>
    <row r="31" customFormat="false" ht="15" hidden="false" customHeight="true" outlineLevel="0" collapsed="false">
      <c r="A31" s="11" t="s">
        <v>120</v>
      </c>
      <c r="B31" s="11"/>
    </row>
    <row r="32" customFormat="false" ht="15" hidden="false" customHeight="true" outlineLevel="0" collapsed="false">
      <c r="A32" s="1" t="s">
        <v>121</v>
      </c>
      <c r="B32" s="1" t="s">
        <v>122</v>
      </c>
    </row>
    <row r="33" customFormat="false" ht="15" hidden="false" customHeight="true" outlineLevel="0" collapsed="false">
      <c r="A33" s="1" t="s">
        <v>123</v>
      </c>
      <c r="B33" s="1" t="s">
        <v>124</v>
      </c>
    </row>
  </sheetData>
  <mergeCells count="7">
    <mergeCell ref="A1:B1"/>
    <mergeCell ref="A3:B3"/>
    <mergeCell ref="A9:B9"/>
    <mergeCell ref="A15:B15"/>
    <mergeCell ref="A20:B20"/>
    <mergeCell ref="A25:B25"/>
    <mergeCell ref="A31:B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2026-03-31T20:56:31Z</dcterms:created>
  <dc:creator>openpyxl</dc:creator>
  <dc:description/>
  <dc:language>en-US</dc:language>
  <cp:lastModifiedBy/>
  <dcterms:modified xsi:type="dcterms:W3CDTF">2026-03-31T20:58:30Z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